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cc350ea44d8bc3/文档/"/>
    </mc:Choice>
  </mc:AlternateContent>
  <xr:revisionPtr revIDLastSave="103" documentId="8_{69297136-14C2-448F-BD04-2A831DC3131D}" xr6:coauthVersionLast="47" xr6:coauthVersionMax="47" xr10:uidLastSave="{D910B4C6-CDDC-48A1-9DDD-DAC0449CE8C1}"/>
  <bookViews>
    <workbookView xWindow="-108" yWindow="-108" windowWidth="23256" windowHeight="12576" activeTab="4" xr2:uid="{09144086-E3F4-4AC9-B32D-1528B7E12959}"/>
  </bookViews>
  <sheets>
    <sheet name="SWandGBN" sheetId="1" r:id="rId1"/>
    <sheet name="Throughout" sheetId="2" r:id="rId2"/>
    <sheet name="Delay" sheetId="3" r:id="rId3"/>
    <sheet name="GBNTh" sheetId="4" r:id="rId4"/>
    <sheet name="GBNandS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E6" i="3"/>
  <c r="D6" i="3"/>
  <c r="E5" i="3"/>
  <c r="E4" i="3"/>
  <c r="D4" i="3"/>
  <c r="E3" i="3"/>
  <c r="D3" i="3"/>
  <c r="E4" i="2"/>
  <c r="E5" i="2"/>
  <c r="E6" i="2"/>
  <c r="E7" i="2"/>
  <c r="D4" i="2"/>
  <c r="D5" i="2"/>
  <c r="D6" i="2"/>
  <c r="D7" i="2"/>
  <c r="D3" i="2"/>
  <c r="E3" i="2"/>
  <c r="B8" i="1"/>
  <c r="C8" i="1"/>
  <c r="D8" i="1"/>
  <c r="E8" i="1"/>
  <c r="D4" i="1"/>
  <c r="D5" i="1"/>
  <c r="D6" i="1"/>
  <c r="D7" i="1"/>
  <c r="D3" i="1"/>
  <c r="E4" i="1"/>
  <c r="E5" i="1"/>
  <c r="E6" i="1"/>
  <c r="E7" i="1"/>
  <c r="E3" i="1"/>
</calcChain>
</file>

<file path=xl/sharedStrings.xml><?xml version="1.0" encoding="utf-8"?>
<sst xmlns="http://schemas.openxmlformats.org/spreadsheetml/2006/main" count="29" uniqueCount="13">
  <si>
    <t>停等机制</t>
    <phoneticPr fontId="1" type="noConversion"/>
  </si>
  <si>
    <t>滑动窗口</t>
    <phoneticPr fontId="1" type="noConversion"/>
  </si>
  <si>
    <t>次数</t>
    <phoneticPr fontId="1" type="noConversion"/>
  </si>
  <si>
    <t>吞吐率(bytes/s)</t>
    <phoneticPr fontId="1" type="noConversion"/>
  </si>
  <si>
    <t>时延s</t>
    <phoneticPr fontId="1" type="noConversion"/>
  </si>
  <si>
    <t>平均</t>
    <phoneticPr fontId="1" type="noConversion"/>
  </si>
  <si>
    <t>丢包率</t>
    <phoneticPr fontId="1" type="noConversion"/>
  </si>
  <si>
    <t>时延(s)</t>
    <phoneticPr fontId="1" type="noConversion"/>
  </si>
  <si>
    <t>延时(ms)</t>
    <phoneticPr fontId="1" type="noConversion"/>
  </si>
  <si>
    <t>相同窗口大小(bytes/s)</t>
    <phoneticPr fontId="1" type="noConversion"/>
  </si>
  <si>
    <t>累积确认</t>
    <phoneticPr fontId="1" type="noConversion"/>
  </si>
  <si>
    <t>选择确认</t>
    <phoneticPr fontId="1" type="noConversion"/>
  </si>
  <si>
    <t>不同窗口大小下的吞吐率(bytes/s)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</si>
</sst>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/>
              <a:t>不同丢包率下停等机制与滑动窗口的对比图</a:t>
            </a:r>
            <a:endParaRPr lang="en-US"/>
          </a:p>
        </c:rich>
      </c:tx>
      <c:layout>
        <c:manualLayout>
          <c:xMode val="edge"/>
          <c:yMode val="edge"/>
          <c:x val="0.171046526487559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停等机制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SWandGBN!$B$3:$B$7</c:f>
              <c:numCache>
                <c:formatCode>General</c:formatCode>
                <c:ptCount val="5"/>
                <c:pt idx="0">
                  <c:v>19809.8</c:v>
                </c:pt>
                <c:pt idx="1">
                  <c:v>19817.5</c:v>
                </c:pt>
                <c:pt idx="2">
                  <c:v>19828.900000000001</c:v>
                </c:pt>
                <c:pt idx="3">
                  <c:v>10684.8</c:v>
                </c:pt>
                <c:pt idx="4">
                  <c:v>13753.9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94-4EB8-887A-3AE2F7639DAE}"/>
            </c:ext>
          </c:extLst>
        </c:ser>
        <c:ser>
          <c:idx val="1"/>
          <c:order val="1"/>
          <c:tx>
            <c:v>滑动窗口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SWandGBN!$C$3:$C$7</c:f>
              <c:numCache>
                <c:formatCode>General</c:formatCode>
                <c:ptCount val="5"/>
                <c:pt idx="0">
                  <c:v>110256.6</c:v>
                </c:pt>
                <c:pt idx="1">
                  <c:v>105872.2</c:v>
                </c:pt>
                <c:pt idx="2">
                  <c:v>105783.9</c:v>
                </c:pt>
                <c:pt idx="3">
                  <c:v>108212.4</c:v>
                </c:pt>
                <c:pt idx="4">
                  <c:v>110811.6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94-4EB8-887A-3AE2F7639D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13897983"/>
        <c:axId val="622151136"/>
      </c:lineChart>
      <c:catAx>
        <c:axId val="171389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2151136"/>
        <c:crosses val="autoZero"/>
        <c:auto val="1"/>
        <c:lblAlgn val="ctr"/>
        <c:lblOffset val="100"/>
        <c:noMultiLvlLbl val="0"/>
      </c:catAx>
      <c:valAx>
        <c:axId val="62215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389798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 altLang="zh-CN" sz="1600" b="1" i="0" u="none" strike="noStrike" kern="1200" cap="none" spc="0" normalizeH="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方正姚体" panose="02010601030101010101" pitchFamily="2" charset="-122"/>
                <a:ea typeface="方正姚体" panose="02010601030101010101" pitchFamily="2" charset="-122"/>
              </a:rPr>
              <a:t>不同丢包率下停等机制与滑动窗口的对比图</a:t>
            </a:r>
            <a:endParaRPr lang="en-US" altLang="zh-CN" sz="1600" b="1" i="0" u="none" strike="noStrike" kern="1200" cap="none" spc="0" normalizeH="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方正姚体" panose="02010601030101010101" pitchFamily="2" charset="-122"/>
              <a:ea typeface="方正姚体" panose="02010601030101010101" pitchFamily="2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停等机制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Throughout!$A$3:$A$7</c:f>
              <c:numCache>
                <c:formatCode>0%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</c:numCache>
            </c:numRef>
          </c:cat>
          <c:val>
            <c:numRef>
              <c:f>Throughout!$B$3:$B$7</c:f>
              <c:numCache>
                <c:formatCode>General</c:formatCode>
                <c:ptCount val="5"/>
                <c:pt idx="0">
                  <c:v>19698.599999999999</c:v>
                </c:pt>
                <c:pt idx="1">
                  <c:v>19245.900000000001</c:v>
                </c:pt>
                <c:pt idx="2">
                  <c:v>18207.8</c:v>
                </c:pt>
                <c:pt idx="3">
                  <c:v>17582.7</c:v>
                </c:pt>
                <c:pt idx="4">
                  <c:v>16994.2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9B-4984-B1E1-0DFBD4C58F40}"/>
            </c:ext>
          </c:extLst>
        </c:ser>
        <c:ser>
          <c:idx val="1"/>
          <c:order val="1"/>
          <c:tx>
            <c:v>滑动窗口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Throughout!$A$3:$A$7</c:f>
              <c:numCache>
                <c:formatCode>0%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</c:numCache>
            </c:numRef>
          </c:cat>
          <c:val>
            <c:numRef>
              <c:f>Throughout!$C$3:$C$7</c:f>
              <c:numCache>
                <c:formatCode>General</c:formatCode>
                <c:ptCount val="5"/>
                <c:pt idx="0">
                  <c:v>123026.6</c:v>
                </c:pt>
                <c:pt idx="1">
                  <c:v>111487.8</c:v>
                </c:pt>
                <c:pt idx="2">
                  <c:v>97889.4</c:v>
                </c:pt>
                <c:pt idx="3">
                  <c:v>71545.899999999994</c:v>
                </c:pt>
                <c:pt idx="4">
                  <c:v>19789.900000000001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9B-4984-B1E1-0DFBD4C58F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5541024"/>
        <c:axId val="56353072"/>
      </c:lineChart>
      <c:catAx>
        <c:axId val="78554102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353072"/>
        <c:crosses val="autoZero"/>
        <c:auto val="1"/>
        <c:lblAlgn val="ctr"/>
        <c:lblOffset val="100"/>
        <c:noMultiLvlLbl val="0"/>
      </c:catAx>
      <c:valAx>
        <c:axId val="5635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554102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 altLang="en-US">
                <a:latin typeface="方正姚体" panose="02010601030101010101" pitchFamily="2" charset="-122"/>
                <a:ea typeface="方正姚体" panose="02010601030101010101" pitchFamily="2" charset="-122"/>
              </a:rPr>
              <a:t>不同转发时延下的停等机制与滑动窗口对比图</a:t>
            </a:r>
            <a:endParaRPr lang="en-US" altLang="zh-CN">
              <a:latin typeface="方正姚体" panose="02010601030101010101" pitchFamily="2" charset="-122"/>
              <a:ea typeface="方正姚体" panose="02010601030101010101" pitchFamily="2" charset="-122"/>
            </a:endParaRPr>
          </a:p>
          <a:p>
            <a:pPr>
              <a:defRPr/>
            </a:pP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7978490850203617E-2"/>
          <c:y val="0.17743916988203526"/>
          <c:w val="0.87648761871339897"/>
          <c:h val="0.6522970244018832"/>
        </c:manualLayout>
      </c:layout>
      <c:lineChart>
        <c:grouping val="standard"/>
        <c:varyColors val="0"/>
        <c:ser>
          <c:idx val="0"/>
          <c:order val="0"/>
          <c:tx>
            <c:v>停等机制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Delay!$A$3:$A$6</c:f>
              <c:numCache>
                <c:formatCode>0_ 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Delay!$B$3:$B$6</c:f>
              <c:numCache>
                <c:formatCode>General</c:formatCode>
                <c:ptCount val="4"/>
                <c:pt idx="0">
                  <c:v>18586.5</c:v>
                </c:pt>
                <c:pt idx="1">
                  <c:v>17878.599999999999</c:v>
                </c:pt>
                <c:pt idx="2">
                  <c:v>17102.3</c:v>
                </c:pt>
                <c:pt idx="3">
                  <c:v>16741.099999999999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2-48CF-89A5-9CCC1ADCD058}"/>
            </c:ext>
          </c:extLst>
        </c:ser>
        <c:ser>
          <c:idx val="1"/>
          <c:order val="1"/>
          <c:tx>
            <c:v>滑动窗口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Delay!$A$3:$A$6</c:f>
              <c:numCache>
                <c:formatCode>0_ 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Delay!$C$3:$C$6</c:f>
              <c:numCache>
                <c:formatCode>General</c:formatCode>
                <c:ptCount val="4"/>
                <c:pt idx="0">
                  <c:v>111445.4</c:v>
                </c:pt>
                <c:pt idx="1">
                  <c:v>45625.2</c:v>
                </c:pt>
                <c:pt idx="2">
                  <c:v>56646.8</c:v>
                </c:pt>
                <c:pt idx="3">
                  <c:v>34942.199999999997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02-48CF-89A5-9CCC1ADCD0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8142784"/>
        <c:axId val="623594192"/>
      </c:lineChart>
      <c:catAx>
        <c:axId val="9814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3594192"/>
        <c:crosses val="autoZero"/>
        <c:auto val="1"/>
        <c:lblAlgn val="ctr"/>
        <c:lblOffset val="100"/>
        <c:noMultiLvlLbl val="0"/>
      </c:catAx>
      <c:valAx>
        <c:axId val="62359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14278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不同丢包率下不同窗口大小的滑动窗口机制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窗口大小3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GBNTh!$B$4:$B$7</c:f>
              <c:numCache>
                <c:formatCode>General</c:formatCode>
                <c:ptCount val="4"/>
                <c:pt idx="0">
                  <c:v>52052.6</c:v>
                </c:pt>
                <c:pt idx="1">
                  <c:v>49291.5</c:v>
                </c:pt>
                <c:pt idx="2">
                  <c:v>36512.199999999997</c:v>
                </c:pt>
                <c:pt idx="3">
                  <c:v>19621.599999999999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7-4C9F-BBF6-68099D5D0F90}"/>
            </c:ext>
          </c:extLst>
        </c:ser>
        <c:ser>
          <c:idx val="1"/>
          <c:order val="1"/>
          <c:tx>
            <c:v>窗口大小5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GBNTh!$C$4:$C$7</c:f>
              <c:numCache>
                <c:formatCode>General</c:formatCode>
                <c:ptCount val="4"/>
                <c:pt idx="0">
                  <c:v>84020.5</c:v>
                </c:pt>
                <c:pt idx="1">
                  <c:v>75929.899999999994</c:v>
                </c:pt>
                <c:pt idx="2">
                  <c:v>71120.800000000003</c:v>
                </c:pt>
                <c:pt idx="3">
                  <c:v>62220.6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87-4C9F-BBF6-68099D5D0F90}"/>
            </c:ext>
          </c:extLst>
        </c:ser>
        <c:ser>
          <c:idx val="2"/>
          <c:order val="2"/>
          <c:tx>
            <c:v>窗口大小10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GBNTh!$D$4:$D$7</c:f>
              <c:numCache>
                <c:formatCode>General</c:formatCode>
                <c:ptCount val="4"/>
                <c:pt idx="0">
                  <c:v>111898.3</c:v>
                </c:pt>
                <c:pt idx="1">
                  <c:v>102929.9</c:v>
                </c:pt>
                <c:pt idx="2">
                  <c:v>93383.6</c:v>
                </c:pt>
                <c:pt idx="3">
                  <c:v>71630.3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87-4C9F-BBF6-68099D5D0F90}"/>
            </c:ext>
          </c:extLst>
        </c:ser>
        <c:ser>
          <c:idx val="3"/>
          <c:order val="3"/>
          <c:tx>
            <c:v>窗口大小15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GBNTh!$E$4:$E$7</c:f>
              <c:numCache>
                <c:formatCode>General</c:formatCode>
                <c:ptCount val="4"/>
                <c:pt idx="0">
                  <c:v>86857.1</c:v>
                </c:pt>
                <c:pt idx="1">
                  <c:v>108272.4</c:v>
                </c:pt>
                <c:pt idx="2">
                  <c:v>88382.1</c:v>
                </c:pt>
                <c:pt idx="3">
                  <c:v>82466.8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87-4C9F-BBF6-68099D5D0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43744"/>
        <c:axId val="622142208"/>
      </c:barChart>
      <c:catAx>
        <c:axId val="98143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2142208"/>
        <c:crosses val="autoZero"/>
        <c:auto val="1"/>
        <c:lblAlgn val="ctr"/>
        <c:lblOffset val="100"/>
        <c:noMultiLvlLbl val="0"/>
      </c:catAx>
      <c:valAx>
        <c:axId val="62214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14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 altLang="en-US">
                <a:latin typeface="方正姚体" panose="02010601030101010101" pitchFamily="2" charset="-122"/>
                <a:ea typeface="方正姚体" panose="02010601030101010101" pitchFamily="2" charset="-122"/>
              </a:rPr>
              <a:t>窗口大小</a:t>
            </a:r>
            <a:r>
              <a:rPr lang="en-US" altLang="zh-CN">
                <a:latin typeface="方正姚体" panose="02010601030101010101" pitchFamily="2" charset="-122"/>
                <a:ea typeface="方正姚体" panose="02010601030101010101" pitchFamily="2" charset="-122"/>
              </a:rPr>
              <a:t>12</a:t>
            </a:r>
            <a:r>
              <a:rPr lang="zh-CN" altLang="en-US">
                <a:latin typeface="方正姚体" panose="02010601030101010101" pitchFamily="2" charset="-122"/>
                <a:ea typeface="方正姚体" panose="02010601030101010101" pitchFamily="2" charset="-122"/>
              </a:rPr>
              <a:t>选择确认和累积确认性能对比图</a:t>
            </a:r>
            <a:endParaRPr lang="zh-CN">
              <a:latin typeface="方正姚体" panose="02010601030101010101" pitchFamily="2" charset="-122"/>
              <a:ea typeface="方正姚体" panose="02010601030101010101" pitchFamily="2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累积确认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GBNandSR!$A$3:$A$7</c:f>
              <c:numCache>
                <c:formatCode>0%</c:formatCode>
                <c:ptCount val="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</c:numCache>
            </c:numRef>
          </c:cat>
          <c:val>
            <c:numRef>
              <c:f>GBNandSR!$B$3:$B$7</c:f>
              <c:numCache>
                <c:formatCode>General</c:formatCode>
                <c:ptCount val="5"/>
                <c:pt idx="0">
                  <c:v>942038.5</c:v>
                </c:pt>
                <c:pt idx="1">
                  <c:v>146416.4</c:v>
                </c:pt>
                <c:pt idx="2">
                  <c:v>123239.1</c:v>
                </c:pt>
                <c:pt idx="3">
                  <c:v>94237.2</c:v>
                </c:pt>
                <c:pt idx="4">
                  <c:v>69089.2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0-4714-BB9B-7F5286E265ED}"/>
            </c:ext>
          </c:extLst>
        </c:ser>
        <c:ser>
          <c:idx val="1"/>
          <c:order val="1"/>
          <c:tx>
            <c:v>选择确认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GBNandSR!$A$3:$A$7</c:f>
              <c:numCache>
                <c:formatCode>0%</c:formatCode>
                <c:ptCount val="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</c:numCache>
            </c:numRef>
          </c:cat>
          <c:val>
            <c:numRef>
              <c:f>GBNandSR!$C$3:$C$7</c:f>
              <c:numCache>
                <c:formatCode>General</c:formatCode>
                <c:ptCount val="5"/>
                <c:pt idx="0">
                  <c:v>1609781.6</c:v>
                </c:pt>
                <c:pt idx="1">
                  <c:v>170453.6</c:v>
                </c:pt>
                <c:pt idx="2">
                  <c:v>143766.9</c:v>
                </c:pt>
                <c:pt idx="3">
                  <c:v>84771.4</c:v>
                </c:pt>
                <c:pt idx="4">
                  <c:v>74330.399999999994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20-4714-BB9B-7F5286E265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51689328"/>
        <c:axId val="56323808"/>
      </c:lineChart>
      <c:catAx>
        <c:axId val="2516893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323808"/>
        <c:crosses val="autoZero"/>
        <c:auto val="1"/>
        <c:lblAlgn val="ctr"/>
        <c:lblOffset val="100"/>
        <c:noMultiLvlLbl val="0"/>
      </c:catAx>
      <c:valAx>
        <c:axId val="5632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168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8</xdr:row>
      <xdr:rowOff>129540</xdr:rowOff>
    </xdr:from>
    <xdr:to>
      <xdr:col>16</xdr:col>
      <xdr:colOff>114300</xdr:colOff>
      <xdr:row>30</xdr:row>
      <xdr:rowOff>68580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4079B4D-EEF1-FBFC-067B-8BD6B4474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0.42369</cdr:y>
    </cdr:from>
    <cdr:to>
      <cdr:x>0.01373</cdr:x>
      <cdr:y>0.68675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729770E0-B834-FF00-EB5A-82DC1F4AD731}"/>
            </a:ext>
          </a:extLst>
        </cdr:cNvPr>
        <cdr:cNvSpPr txBox="1"/>
      </cdr:nvSpPr>
      <cdr:spPr>
        <a:xfrm xmlns:a="http://schemas.openxmlformats.org/drawingml/2006/main">
          <a:off x="0" y="1607820"/>
          <a:ext cx="83820" cy="998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zh-CN" altLang="en-US" sz="1100"/>
            <a:t>丢包率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7</xdr:row>
      <xdr:rowOff>76200</xdr:rowOff>
    </xdr:from>
    <xdr:to>
      <xdr:col>14</xdr:col>
      <xdr:colOff>403860</xdr:colOff>
      <xdr:row>28</xdr:row>
      <xdr:rowOff>68580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9659BC7-A03F-60FD-3CF9-FC149F449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0.01031</cdr:x>
      <cdr:y>0.28603</cdr:y>
    </cdr:from>
    <cdr:to>
      <cdr:x>0.02062</cdr:x>
      <cdr:y>0.68122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28023BDE-9294-59DF-7965-E06B409A4C9E}"/>
            </a:ext>
          </a:extLst>
        </cdr:cNvPr>
        <cdr:cNvSpPr txBox="1"/>
      </cdr:nvSpPr>
      <cdr:spPr>
        <a:xfrm xmlns:a="http://schemas.openxmlformats.org/drawingml/2006/main">
          <a:off x="60960" y="998220"/>
          <a:ext cx="60960" cy="1379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eaVert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</cdr:x>
      <cdr:y>0.41266</cdr:y>
    </cdr:from>
    <cdr:to>
      <cdr:x>0.01546</cdr:x>
      <cdr:y>0.78603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2AC1A0A7-45B5-8804-FFA6-FACAFA8D2375}"/>
            </a:ext>
          </a:extLst>
        </cdr:cNvPr>
        <cdr:cNvSpPr txBox="1"/>
      </cdr:nvSpPr>
      <cdr:spPr>
        <a:xfrm xmlns:a="http://schemas.openxmlformats.org/drawingml/2006/main">
          <a:off x="0" y="1440180"/>
          <a:ext cx="91440" cy="1303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/>
          <a:r>
            <a:rPr lang="zh-CN" altLang="en-US" sz="900">
              <a:latin typeface="+mn-lt"/>
              <a:ea typeface="+mn-ea"/>
              <a:cs typeface="+mn-cs"/>
            </a:rPr>
            <a:t>吞吐率</a:t>
          </a:r>
        </a:p>
      </cdr:txBody>
    </cdr:sp>
  </cdr:relSizeAnchor>
  <cdr:relSizeAnchor xmlns:cdr="http://schemas.openxmlformats.org/drawingml/2006/chartDrawing">
    <cdr:from>
      <cdr:x>0.83376</cdr:x>
      <cdr:y>0.92531</cdr:y>
    </cdr:from>
    <cdr:to>
      <cdr:x>0.98067</cdr:x>
      <cdr:y>0.97925</cdr:y>
    </cdr:to>
    <cdr:sp macro="" textlink="">
      <cdr:nvSpPr>
        <cdr:cNvPr id="5" name="文本框 4">
          <a:extLst xmlns:a="http://schemas.openxmlformats.org/drawingml/2006/main">
            <a:ext uri="{FF2B5EF4-FFF2-40B4-BE49-F238E27FC236}">
              <a16:creationId xmlns:a16="http://schemas.microsoft.com/office/drawing/2014/main" id="{837C0C03-4C2C-1655-E7DC-037976465D6A}"/>
            </a:ext>
          </a:extLst>
        </cdr:cNvPr>
        <cdr:cNvSpPr txBox="1"/>
      </cdr:nvSpPr>
      <cdr:spPr>
        <a:xfrm xmlns:a="http://schemas.openxmlformats.org/drawingml/2006/main">
          <a:off x="4930140" y="3398520"/>
          <a:ext cx="868680" cy="19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zh-CN" altLang="en-US" sz="900"/>
            <a:t>丢包率</a:t>
          </a:r>
          <a:r>
            <a:rPr lang="en-US" altLang="zh-CN" sz="900"/>
            <a:t>(byte/s)</a:t>
          </a:r>
          <a:endParaRPr lang="zh-CN" altLang="en-US" sz="9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7</xdr:row>
      <xdr:rowOff>68580</xdr:rowOff>
    </xdr:from>
    <xdr:to>
      <xdr:col>14</xdr:col>
      <xdr:colOff>190500</xdr:colOff>
      <xdr:row>27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B061461-812D-2638-77FF-0BCC1EDA6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0.39024</cdr:y>
    </cdr:from>
    <cdr:to>
      <cdr:x>0.01114</cdr:x>
      <cdr:y>0.66075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F1722381-FDAE-78AB-A1FF-82EFB3434FD1}"/>
            </a:ext>
          </a:extLst>
        </cdr:cNvPr>
        <cdr:cNvSpPr txBox="1"/>
      </cdr:nvSpPr>
      <cdr:spPr>
        <a:xfrm xmlns:a="http://schemas.openxmlformats.org/drawingml/2006/main">
          <a:off x="0" y="1341120"/>
          <a:ext cx="60960" cy="9296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/>
          <a:r>
            <a:rPr lang="zh-CN" altLang="en-US" sz="900">
              <a:latin typeface="+mn-lt"/>
              <a:ea typeface="+mn-ea"/>
              <a:cs typeface="+mn-cs"/>
            </a:rPr>
            <a:t>吞吐率</a:t>
          </a:r>
        </a:p>
      </cdr:txBody>
    </cdr:sp>
  </cdr:relSizeAnchor>
  <cdr:relSizeAnchor xmlns:cdr="http://schemas.openxmlformats.org/drawingml/2006/chartDrawing">
    <cdr:from>
      <cdr:x>0.84958</cdr:x>
      <cdr:y>0.8847</cdr:y>
    </cdr:from>
    <cdr:to>
      <cdr:x>1</cdr:x>
      <cdr:y>0.94013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2906BD96-B204-D71A-2EBD-ECC2169E6FAA}"/>
            </a:ext>
          </a:extLst>
        </cdr:cNvPr>
        <cdr:cNvSpPr txBox="1"/>
      </cdr:nvSpPr>
      <cdr:spPr>
        <a:xfrm xmlns:a="http://schemas.openxmlformats.org/drawingml/2006/main">
          <a:off x="4648200" y="3040380"/>
          <a:ext cx="82296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/>
          <a:r>
            <a:rPr lang="zh-CN" altLang="en-US" sz="900">
              <a:latin typeface="+mn-lt"/>
              <a:ea typeface="+mn-ea"/>
              <a:cs typeface="+mn-cs"/>
            </a:rPr>
            <a:t>延时</a:t>
          </a:r>
          <a:r>
            <a:rPr lang="en-US" altLang="zh-CN" sz="900">
              <a:latin typeface="+mn-lt"/>
              <a:ea typeface="+mn-ea"/>
              <a:cs typeface="+mn-cs"/>
            </a:rPr>
            <a:t>(s)</a:t>
          </a:r>
          <a:endParaRPr lang="zh-CN" altLang="en-US" sz="900">
            <a:latin typeface="+mn-lt"/>
            <a:ea typeface="+mn-ea"/>
            <a:cs typeface="+mn-cs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8</xdr:row>
      <xdr:rowOff>129540</xdr:rowOff>
    </xdr:from>
    <xdr:to>
      <xdr:col>12</xdr:col>
      <xdr:colOff>388620</xdr:colOff>
      <xdr:row>24</xdr:row>
      <xdr:rowOff>68580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72C6E45-70F3-BD59-857B-56E7D5530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0.38889</cdr:y>
    </cdr:from>
    <cdr:to>
      <cdr:x>0.0299</cdr:x>
      <cdr:y>0.70833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78FEE1BA-74B6-EB47-7C49-F0607299A534}"/>
            </a:ext>
          </a:extLst>
        </cdr:cNvPr>
        <cdr:cNvSpPr txBox="1"/>
      </cdr:nvSpPr>
      <cdr:spPr>
        <a:xfrm xmlns:a="http://schemas.openxmlformats.org/drawingml/2006/main">
          <a:off x="0" y="1066800"/>
          <a:ext cx="137160" cy="876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/>
          <a:r>
            <a:rPr lang="zh-CN" altLang="en-US" sz="900"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吞吐率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7</xdr:row>
      <xdr:rowOff>38100</xdr:rowOff>
    </xdr:from>
    <xdr:to>
      <xdr:col>16</xdr:col>
      <xdr:colOff>160020</xdr:colOff>
      <xdr:row>26</xdr:row>
      <xdr:rowOff>137160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B424431-245B-AC6B-0C1C-3B90BB559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E7B1-FCED-4BED-BFDF-11DDAD174B9A}">
  <dimension ref="A1:E9"/>
  <sheetViews>
    <sheetView workbookViewId="0">
      <selection activeCell="D13" sqref="D13"/>
    </sheetView>
  </sheetViews>
  <sheetFormatPr defaultRowHeight="13.8" x14ac:dyDescent="0.25"/>
  <sheetData>
    <row r="1" spans="1:5" x14ac:dyDescent="0.25">
      <c r="A1" s="6" t="s">
        <v>2</v>
      </c>
      <c r="B1" s="2" t="s">
        <v>3</v>
      </c>
      <c r="C1" s="2"/>
      <c r="D1" s="2" t="s">
        <v>4</v>
      </c>
      <c r="E1" s="2"/>
    </row>
    <row r="2" spans="1:5" x14ac:dyDescent="0.25">
      <c r="A2" s="2"/>
      <c r="B2" t="s">
        <v>0</v>
      </c>
      <c r="C2" t="s">
        <v>1</v>
      </c>
      <c r="D2" t="s">
        <v>0</v>
      </c>
      <c r="E2" t="s">
        <v>1</v>
      </c>
    </row>
    <row r="3" spans="1:5" x14ac:dyDescent="0.25">
      <c r="A3" s="7">
        <v>1</v>
      </c>
      <c r="B3">
        <v>19809.8</v>
      </c>
      <c r="C3">
        <v>110256.6</v>
      </c>
      <c r="D3">
        <f>1857353/B3</f>
        <v>93.759300952054033</v>
      </c>
      <c r="E3">
        <f>1857353/C3</f>
        <v>16.845730777114476</v>
      </c>
    </row>
    <row r="4" spans="1:5" x14ac:dyDescent="0.25">
      <c r="A4" s="4">
        <v>2</v>
      </c>
      <c r="B4">
        <v>19817.5</v>
      </c>
      <c r="C4">
        <v>105872.2</v>
      </c>
      <c r="D4">
        <f t="shared" ref="D4:D7" si="0">1857353/B4</f>
        <v>93.722871199697238</v>
      </c>
      <c r="E4">
        <f t="shared" ref="E4:E7" si="1">1857353/C4</f>
        <v>17.543349434506887</v>
      </c>
    </row>
    <row r="5" spans="1:5" x14ac:dyDescent="0.25">
      <c r="A5" s="4">
        <v>3</v>
      </c>
      <c r="B5">
        <v>19828.900000000001</v>
      </c>
      <c r="C5">
        <v>105783.9</v>
      </c>
      <c r="D5">
        <f t="shared" si="0"/>
        <v>93.668988193999667</v>
      </c>
      <c r="E5">
        <f t="shared" si="1"/>
        <v>17.557993229593539</v>
      </c>
    </row>
    <row r="6" spans="1:5" x14ac:dyDescent="0.25">
      <c r="A6" s="4">
        <v>4</v>
      </c>
      <c r="B6">
        <v>10684.8</v>
      </c>
      <c r="C6">
        <v>108212.4</v>
      </c>
      <c r="D6">
        <f t="shared" si="0"/>
        <v>173.83133048817012</v>
      </c>
      <c r="E6">
        <f t="shared" si="1"/>
        <v>17.163957180507964</v>
      </c>
    </row>
    <row r="7" spans="1:5" x14ac:dyDescent="0.25">
      <c r="A7" s="5">
        <v>5</v>
      </c>
      <c r="B7">
        <v>13753.9</v>
      </c>
      <c r="C7">
        <v>110811.6</v>
      </c>
      <c r="D7">
        <f t="shared" si="0"/>
        <v>135.04191538400019</v>
      </c>
      <c r="E7">
        <f t="shared" si="1"/>
        <v>16.761358919102332</v>
      </c>
    </row>
    <row r="8" spans="1:5" x14ac:dyDescent="0.25">
      <c r="A8" s="8" t="s">
        <v>5</v>
      </c>
      <c r="B8">
        <f>AVERAGE(B3:B7)</f>
        <v>16778.98</v>
      </c>
      <c r="C8">
        <f>AVERAGE(C3:C7)</f>
        <v>108187.34</v>
      </c>
      <c r="D8">
        <f>AVERAGE(D3:D7)</f>
        <v>118.00488124358426</v>
      </c>
      <c r="E8">
        <f>AVERAGE(E3:E7)</f>
        <v>17.174477908165038</v>
      </c>
    </row>
    <row r="9" spans="1:5" x14ac:dyDescent="0.25">
      <c r="A9" s="1"/>
    </row>
  </sheetData>
  <mergeCells count="3">
    <mergeCell ref="B1:C1"/>
    <mergeCell ref="D1:E1"/>
    <mergeCell ref="A1:A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1D0E-4156-4682-AB02-A2479BADCB32}">
  <dimension ref="A1:E7"/>
  <sheetViews>
    <sheetView workbookViewId="0">
      <selection activeCell="E7" sqref="A1:E7"/>
    </sheetView>
  </sheetViews>
  <sheetFormatPr defaultRowHeight="13.8" x14ac:dyDescent="0.25"/>
  <sheetData>
    <row r="1" spans="1:5" x14ac:dyDescent="0.25">
      <c r="A1" s="6" t="s">
        <v>6</v>
      </c>
      <c r="B1" s="2" t="s">
        <v>3</v>
      </c>
      <c r="C1" s="2"/>
      <c r="D1" s="2" t="s">
        <v>7</v>
      </c>
      <c r="E1" s="2"/>
    </row>
    <row r="2" spans="1:5" x14ac:dyDescent="0.25">
      <c r="A2" s="2"/>
      <c r="B2" t="s">
        <v>0</v>
      </c>
      <c r="C2" t="s">
        <v>1</v>
      </c>
      <c r="D2" t="s">
        <v>0</v>
      </c>
      <c r="E2" t="s">
        <v>1</v>
      </c>
    </row>
    <row r="3" spans="1:5" x14ac:dyDescent="0.25">
      <c r="A3" s="9">
        <v>0.01</v>
      </c>
      <c r="B3">
        <v>19698.599999999999</v>
      </c>
      <c r="C3">
        <v>123026.6</v>
      </c>
      <c r="D3">
        <f>1857353/B3</f>
        <v>94.288578883778555</v>
      </c>
      <c r="E3">
        <f>1857353/C3</f>
        <v>15.097165978739556</v>
      </c>
    </row>
    <row r="4" spans="1:5" x14ac:dyDescent="0.25">
      <c r="A4" s="10">
        <v>0.02</v>
      </c>
      <c r="B4">
        <v>19245.900000000001</v>
      </c>
      <c r="C4">
        <v>111487.8</v>
      </c>
      <c r="D4">
        <f t="shared" ref="D4:D7" si="0">1857353/B4</f>
        <v>96.506424745010619</v>
      </c>
      <c r="E4">
        <f t="shared" ref="E4:E7" si="1">1857353/C4</f>
        <v>16.659697294233091</v>
      </c>
    </row>
    <row r="5" spans="1:5" x14ac:dyDescent="0.25">
      <c r="A5" s="10">
        <v>0.05</v>
      </c>
      <c r="B5">
        <v>18207.8</v>
      </c>
      <c r="C5">
        <v>97889.4</v>
      </c>
      <c r="D5">
        <f t="shared" si="0"/>
        <v>102.00864464679972</v>
      </c>
      <c r="E5">
        <f t="shared" si="1"/>
        <v>18.973995141455561</v>
      </c>
    </row>
    <row r="6" spans="1:5" x14ac:dyDescent="0.25">
      <c r="A6" s="10">
        <v>0.1</v>
      </c>
      <c r="B6">
        <v>17582.7</v>
      </c>
      <c r="C6">
        <v>71545.899999999994</v>
      </c>
      <c r="D6">
        <f t="shared" si="0"/>
        <v>105.63525510871482</v>
      </c>
      <c r="E6">
        <f t="shared" si="1"/>
        <v>25.960299611857565</v>
      </c>
    </row>
    <row r="7" spans="1:5" x14ac:dyDescent="0.25">
      <c r="A7" s="11">
        <v>0.15</v>
      </c>
      <c r="B7">
        <v>16994.2</v>
      </c>
      <c r="C7">
        <v>19789.900000000001</v>
      </c>
      <c r="D7">
        <f t="shared" si="0"/>
        <v>109.29334714196608</v>
      </c>
      <c r="E7">
        <f t="shared" si="1"/>
        <v>93.853581877624435</v>
      </c>
    </row>
  </sheetData>
  <mergeCells count="3">
    <mergeCell ref="A1:A2"/>
    <mergeCell ref="B1:C1"/>
    <mergeCell ref="D1:E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3527-81DF-4AD5-B53D-C8B8BE852F40}">
  <dimension ref="A1:E6"/>
  <sheetViews>
    <sheetView workbookViewId="0">
      <selection sqref="A1:E6"/>
    </sheetView>
  </sheetViews>
  <sheetFormatPr defaultRowHeight="13.8" x14ac:dyDescent="0.25"/>
  <sheetData>
    <row r="1" spans="1:5" x14ac:dyDescent="0.25">
      <c r="A1" s="6" t="s">
        <v>8</v>
      </c>
      <c r="B1" s="2" t="s">
        <v>3</v>
      </c>
      <c r="C1" s="2"/>
      <c r="D1" s="2" t="s">
        <v>7</v>
      </c>
      <c r="E1" s="2"/>
    </row>
    <row r="2" spans="1:5" x14ac:dyDescent="0.25">
      <c r="A2" s="2"/>
      <c r="B2" t="s">
        <v>0</v>
      </c>
      <c r="C2" t="s">
        <v>1</v>
      </c>
      <c r="D2" t="s">
        <v>0</v>
      </c>
      <c r="E2" t="s">
        <v>1</v>
      </c>
    </row>
    <row r="3" spans="1:5" x14ac:dyDescent="0.25">
      <c r="A3" s="12">
        <v>0</v>
      </c>
      <c r="B3">
        <v>18586.5</v>
      </c>
      <c r="C3">
        <v>111445.4</v>
      </c>
      <c r="D3">
        <f>1857353/B3</f>
        <v>99.930218169101224</v>
      </c>
      <c r="E3">
        <f>1857353/C3</f>
        <v>16.666035565397944</v>
      </c>
    </row>
    <row r="4" spans="1:5" x14ac:dyDescent="0.25">
      <c r="A4" s="13">
        <v>5</v>
      </c>
      <c r="B4">
        <v>17878.599999999999</v>
      </c>
      <c r="C4">
        <v>45625.2</v>
      </c>
      <c r="D4">
        <f t="shared" ref="D4:E6" si="0">1857353/B4</f>
        <v>103.88693745595293</v>
      </c>
      <c r="E4">
        <f t="shared" si="0"/>
        <v>40.708928399217982</v>
      </c>
    </row>
    <row r="5" spans="1:5" x14ac:dyDescent="0.25">
      <c r="A5" s="13">
        <v>10</v>
      </c>
      <c r="B5">
        <v>17102.3</v>
      </c>
      <c r="C5">
        <v>56646.8</v>
      </c>
      <c r="D5">
        <f>1857353/B5</f>
        <v>108.60252714547167</v>
      </c>
      <c r="E5">
        <f t="shared" si="0"/>
        <v>32.788312843797002</v>
      </c>
    </row>
    <row r="6" spans="1:5" x14ac:dyDescent="0.25">
      <c r="A6" s="14">
        <v>15</v>
      </c>
      <c r="B6">
        <v>16741.099999999999</v>
      </c>
      <c r="C6">
        <v>34942.199999999997</v>
      </c>
      <c r="D6">
        <f t="shared" si="0"/>
        <v>110.94569651934462</v>
      </c>
      <c r="E6">
        <f t="shared" si="0"/>
        <v>53.15501027410982</v>
      </c>
    </row>
  </sheetData>
  <mergeCells count="3">
    <mergeCell ref="A1:A2"/>
    <mergeCell ref="B1:C1"/>
    <mergeCell ref="D1:E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C037-C83C-4F36-A375-49261F647E81}">
  <dimension ref="A1:E7"/>
  <sheetViews>
    <sheetView workbookViewId="0">
      <selection activeCell="E7" sqref="A1:E7"/>
    </sheetView>
  </sheetViews>
  <sheetFormatPr defaultRowHeight="13.8" x14ac:dyDescent="0.25"/>
  <sheetData>
    <row r="1" spans="1:5" x14ac:dyDescent="0.25">
      <c r="A1" s="15" t="s">
        <v>6</v>
      </c>
      <c r="B1" s="2" t="s">
        <v>12</v>
      </c>
      <c r="C1" s="2"/>
      <c r="D1" s="2"/>
      <c r="E1" s="2"/>
    </row>
    <row r="2" spans="1:5" x14ac:dyDescent="0.25">
      <c r="A2" s="16"/>
      <c r="B2" s="8">
        <v>3</v>
      </c>
      <c r="C2" s="8">
        <v>5</v>
      </c>
      <c r="D2" s="8">
        <v>10</v>
      </c>
      <c r="E2" s="8">
        <v>16</v>
      </c>
    </row>
    <row r="3" spans="1:5" x14ac:dyDescent="0.25">
      <c r="A3" s="17">
        <v>0</v>
      </c>
      <c r="B3">
        <v>1276126</v>
      </c>
      <c r="C3">
        <v>1700084.4</v>
      </c>
      <c r="D3">
        <v>798746</v>
      </c>
      <c r="E3">
        <v>1472865</v>
      </c>
    </row>
    <row r="4" spans="1:5" x14ac:dyDescent="0.25">
      <c r="A4" s="18">
        <v>0.01</v>
      </c>
      <c r="B4">
        <v>52052.6</v>
      </c>
      <c r="C4">
        <v>84020.5</v>
      </c>
      <c r="D4">
        <v>111898.3</v>
      </c>
      <c r="E4">
        <v>86857.1</v>
      </c>
    </row>
    <row r="5" spans="1:5" x14ac:dyDescent="0.25">
      <c r="A5" s="18">
        <v>0.02</v>
      </c>
      <c r="B5">
        <v>49291.5</v>
      </c>
      <c r="C5">
        <v>75929.899999999994</v>
      </c>
      <c r="D5">
        <v>102929.9</v>
      </c>
      <c r="E5">
        <v>108272.4</v>
      </c>
    </row>
    <row r="6" spans="1:5" x14ac:dyDescent="0.25">
      <c r="A6" s="18">
        <v>0.05</v>
      </c>
      <c r="B6">
        <v>36512.199999999997</v>
      </c>
      <c r="C6">
        <v>71120.800000000003</v>
      </c>
      <c r="D6">
        <v>93383.6</v>
      </c>
      <c r="E6">
        <v>88382.1</v>
      </c>
    </row>
    <row r="7" spans="1:5" x14ac:dyDescent="0.25">
      <c r="A7" s="19">
        <v>0.1</v>
      </c>
      <c r="B7">
        <v>19621.599999999999</v>
      </c>
      <c r="C7">
        <v>62220.6</v>
      </c>
      <c r="D7">
        <v>71630.3</v>
      </c>
      <c r="E7">
        <v>82466.8</v>
      </c>
    </row>
  </sheetData>
  <mergeCells count="2">
    <mergeCell ref="A1:A2"/>
    <mergeCell ref="B1:E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0DE9-2FCC-40A1-9AFF-EFA82111D1BB}">
  <dimension ref="A1:C7"/>
  <sheetViews>
    <sheetView tabSelected="1" workbookViewId="0">
      <selection sqref="A1:C7"/>
    </sheetView>
  </sheetViews>
  <sheetFormatPr defaultRowHeight="13.8" x14ac:dyDescent="0.25"/>
  <sheetData>
    <row r="1" spans="1:3" x14ac:dyDescent="0.25">
      <c r="A1" s="15" t="s">
        <v>6</v>
      </c>
      <c r="B1" s="2" t="s">
        <v>9</v>
      </c>
      <c r="C1" s="2"/>
    </row>
    <row r="2" spans="1:3" x14ac:dyDescent="0.25">
      <c r="A2" s="16"/>
      <c r="B2" s="20" t="s">
        <v>10</v>
      </c>
      <c r="C2" s="8" t="s">
        <v>11</v>
      </c>
    </row>
    <row r="3" spans="1:3" x14ac:dyDescent="0.25">
      <c r="A3" s="17">
        <v>0</v>
      </c>
      <c r="B3">
        <v>942038.5</v>
      </c>
      <c r="C3">
        <v>1609781.6</v>
      </c>
    </row>
    <row r="4" spans="1:3" x14ac:dyDescent="0.25">
      <c r="A4" s="18">
        <v>0.01</v>
      </c>
      <c r="B4">
        <v>146416.4</v>
      </c>
      <c r="C4">
        <v>170453.6</v>
      </c>
    </row>
    <row r="5" spans="1:3" x14ac:dyDescent="0.25">
      <c r="A5" s="18">
        <v>0.02</v>
      </c>
      <c r="B5">
        <v>123239.1</v>
      </c>
      <c r="C5">
        <v>143766.9</v>
      </c>
    </row>
    <row r="6" spans="1:3" x14ac:dyDescent="0.25">
      <c r="A6" s="18">
        <v>0.05</v>
      </c>
      <c r="B6">
        <v>94237.2</v>
      </c>
      <c r="C6">
        <v>84771.4</v>
      </c>
    </row>
    <row r="7" spans="1:3" x14ac:dyDescent="0.25">
      <c r="A7" s="19">
        <v>0.1</v>
      </c>
      <c r="B7" s="21">
        <v>69089.2</v>
      </c>
      <c r="C7" s="3">
        <v>74330.399999999994</v>
      </c>
    </row>
  </sheetData>
  <mergeCells count="2">
    <mergeCell ref="A1:A2"/>
    <mergeCell ref="B1:C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SWandGBN</vt:lpstr>
      <vt:lpstr>Throughout</vt:lpstr>
      <vt:lpstr>Delay</vt:lpstr>
      <vt:lpstr>GBNTh</vt:lpstr>
      <vt:lpstr>GBNandSR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铭 颜</dc:creator>
  <cp:lastModifiedBy>铭 颜</cp:lastModifiedBy>
  <dcterms:created xsi:type="dcterms:W3CDTF">2023-12-19T09:42:53Z</dcterms:created>
  <dcterms:modified xsi:type="dcterms:W3CDTF">2023-12-19T15:40:30Z</dcterms:modified>
</cp:coreProperties>
</file>